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任务卡" sheetId="3" state="visible" r:id="rId3"/>
    <sheet xmlns:r="http://schemas.openxmlformats.org/officeDocument/2006/relationships" name="参与者" sheetId="4" state="visible" r:id="rId4"/>
    <sheet xmlns:r="http://schemas.openxmlformats.org/officeDocument/2006/relationships" name="记录" sheetId="5" state="visible" r:id="rId5"/>
    <sheet xmlns:r="http://schemas.openxmlformats.org/officeDocument/2006/relationships" name="观察记录" sheetId="6" state="visible" r:id="rId6"/>
    <sheet xmlns:r="http://schemas.openxmlformats.org/officeDocument/2006/relationships" name="问题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测试脚本</author>
  </authors>
  <commentList>
    <comment ref="O1" authorId="0" shapeId="0">
      <text>
        <t>找到来源且操作数 ≤2 记为“是”。</t>
      </text>
    </comment>
    <comment ref="P1" authorId="0" shapeId="0">
      <text>
        <t>只取找到来源者的用时，供中位数计算。</t>
      </text>
    </comment>
    <comment ref="X1" authorId="0" shapeId="0">
      <text>
        <t>“不适用”不计入分母。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48" customHeight="1">
      <c r="A1" s="1" t="inlineStr">
        <is>
          <t>用途</t>
        </is>
      </c>
      <c r="B1" s="2" t="inlineStr">
        <is>
          <t>AI Radar 五人用户测试的记录与汇总。配合同目录的 USER_TEST_SCRIPT.md 使用，评分标准以脚本为准。</t>
        </is>
      </c>
    </row>
    <row r="2" ht="48" customHeight="1">
      <c r="A2" s="1" t="inlineStr">
        <is>
          <t>要填写的格子</t>
        </is>
      </c>
      <c r="B2" s="2" t="inlineStr">
        <is>
          <t>浅黄色格子由主持人填写；灰色格子是公式，不要改动。“记录”页第 2 行是示例，不计入汇总。</t>
        </is>
      </c>
    </row>
    <row r="3" ht="48" customHeight="1">
      <c r="A3" s="1" t="inlineStr">
        <is>
          <t>填写顺序</t>
        </is>
      </c>
      <c r="B3" s="2" t="inlineStr">
        <is>
          <t>1. 正式测试前完成“任务卡”页的试跑记录；2. 每场填“参与者”和“记录”；3. 现场原话记在“观察记录”；4. 全部结束后整理“问题清单”；5. “汇总”页自动计算。</t>
        </is>
      </c>
    </row>
    <row r="4" ht="48" customHeight="1">
      <c r="A4" s="1" t="inlineStr">
        <is>
          <t>T1 30 秒定位</t>
        </is>
      </c>
      <c r="B4" s="2" t="inlineStr">
        <is>
          <t>追踪器（动态）、决策助手、证据基础设施（知识库与来源）三项，各填 0 或 1。</t>
        </is>
      </c>
    </row>
    <row r="5" ht="48" customHeight="1">
      <c r="A5" s="1" t="inlineStr">
        <is>
          <t>T2 决策任务</t>
        </is>
      </c>
      <c r="B5" s="2" t="inlineStr">
        <is>
          <t>完成：提交任务和至少两项限制，正确说出主选与备选（或没有合格候选的原因），并说出具体下一步。部分：提交但复述错误、漏掉限制或需要具体帮助。未完成：没有提交或放弃。用时以秒计，扣除登录用时。</t>
        </is>
      </c>
    </row>
    <row r="6" ht="48" customHeight="1">
      <c r="A6" s="1" t="inlineStr">
        <is>
          <t>T3 找证据</t>
        </is>
      </c>
      <c r="B6" s="2" t="inlineStr">
        <is>
          <t>操作数只计点击或轻触，不计滚动。180 秒未找到时“找到来源”填“否”。可达性和耗时中位数由公式计算。</t>
        </is>
      </c>
    </row>
    <row r="7" ht="48" customHeight="1">
      <c r="A7" s="1" t="inlineStr">
        <is>
          <t>T4 事实辨识</t>
        </is>
      </c>
      <c r="B7" s="2" t="inlineStr">
        <is>
          <t>每项填 0 或 1。冲突项未出现时填“不适用”，该项不计入分母。</t>
        </is>
      </c>
    </row>
    <row r="8" ht="48" customHeight="1">
      <c r="A8" s="1" t="inlineStr">
        <is>
          <t>T5 手机复查</t>
        </is>
      </c>
      <c r="B8" s="2" t="inlineStr">
        <is>
          <t>完成：找到结果、说对主选（或无合格候选原因）、打开一条依据。手机上重新提交的填“是”。布局问题列只在确有问题时填写，没有问题请留空：汇总按“非空”计数，填“无”会被算作有问题。</t>
        </is>
      </c>
    </row>
    <row r="9" ht="48" customHeight="1">
      <c r="A9" s="1" t="inlineStr">
        <is>
          <t>SEQ</t>
        </is>
      </c>
      <c r="B9" s="2" t="inlineStr">
        <is>
          <t>单题易用性，1 表示非常难，7 表示非常容易。</t>
        </is>
      </c>
    </row>
    <row r="10" ht="48" customHeight="1">
      <c r="A10" s="1" t="inlineStr">
        <is>
          <t>结果引用</t>
        </is>
      </c>
      <c r="B10" s="2" t="inlineStr">
        <is>
          <t>5 人样本只用于发现问题和比较迭代。对外引用时写明人数、日期、线上版本（buildCommit）与任务卡，不换算成百分比。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60" customWidth="1" min="4" max="4"/>
  </cols>
  <sheetData>
    <row r="1" ht="36" customHeight="1">
      <c r="A1" s="3" t="inlineStr">
        <is>
          <t>路线图指标</t>
        </is>
      </c>
      <c r="B1" s="3" t="inlineStr">
        <is>
          <t>统计项</t>
        </is>
      </c>
      <c r="C1" s="3" t="inlineStr">
        <is>
          <t>结果</t>
        </is>
      </c>
      <c r="D1" s="3" t="inlineStr">
        <is>
          <t>计算方式</t>
        </is>
      </c>
    </row>
    <row r="2">
      <c r="A2" s="1" t="inlineStr">
        <is>
          <t>30 秒定位测试</t>
        </is>
      </c>
      <c r="B2" s="2" t="inlineStr">
        <is>
          <t>三部分全部说出的人数</t>
        </is>
      </c>
      <c r="C2" s="4">
        <f>COUNTIF('记录'!F3:F7,3)&amp;" / "&amp;COUNT('记录'!F3:F7)</f>
        <v/>
      </c>
      <c r="D2" s="2" t="inlineStr">
        <is>
          <t>T1 得分为 3 的人数 / 已测人数</t>
        </is>
      </c>
    </row>
    <row r="3">
      <c r="A3" s="1" t="inlineStr"/>
      <c r="B3" s="2" t="inlineStr">
        <is>
          <t>平均得分（0–3）</t>
        </is>
      </c>
      <c r="C3" s="4">
        <f>IF(COUNT('记录'!F3:F7)=0,"",ROUND(AVERAGE('记录'!F3:F7),1))</f>
        <v/>
      </c>
      <c r="D3" s="2" t="inlineStr">
        <is>
          <t>T1 得分平均值</t>
        </is>
      </c>
    </row>
    <row r="4">
      <c r="A4" s="1" t="inlineStr"/>
      <c r="B4" s="2" t="inlineStr">
        <is>
          <t>说出追踪器</t>
        </is>
      </c>
      <c r="C4" s="4">
        <f>COUNTIF('记录'!C3:C7,1)&amp;" / "&amp;COUNT('记录'!C3:C7)</f>
        <v/>
      </c>
      <c r="D4" s="2" t="inlineStr"/>
    </row>
    <row r="5">
      <c r="A5" s="1" t="inlineStr"/>
      <c r="B5" s="2" t="inlineStr">
        <is>
          <t>说出决策助手</t>
        </is>
      </c>
      <c r="C5" s="4">
        <f>COUNTIF('记录'!D3:D7,1)&amp;" / "&amp;COUNT('记录'!D3:D7)</f>
        <v/>
      </c>
      <c r="D5" s="2" t="inlineStr"/>
    </row>
    <row r="6">
      <c r="A6" s="1" t="inlineStr"/>
      <c r="B6" s="2" t="inlineStr">
        <is>
          <t>说出证据基础设施</t>
        </is>
      </c>
      <c r="C6" s="4">
        <f>COUNTIF('记录'!E3:E7,1)&amp;" / "&amp;COUNT('记录'!E3:E7)</f>
        <v/>
      </c>
      <c r="D6" s="2" t="inlineStr"/>
    </row>
    <row r="7">
      <c r="A7" s="1" t="inlineStr">
        <is>
          <t>决策完成率</t>
        </is>
      </c>
      <c r="B7" s="2" t="inlineStr">
        <is>
          <t>完成</t>
        </is>
      </c>
      <c r="C7" s="4">
        <f>COUNTIF('记录'!G3:G7,"完成")&amp;" / "&amp;COUNTA('记录'!G3:G7)</f>
        <v/>
      </c>
      <c r="D7" s="2" t="inlineStr">
        <is>
          <t>按 T2 评分标准</t>
        </is>
      </c>
    </row>
    <row r="8">
      <c r="A8" s="1" t="inlineStr"/>
      <c r="B8" s="2" t="inlineStr">
        <is>
          <t>部分</t>
        </is>
      </c>
      <c r="C8" s="4">
        <f>COUNTIF('记录'!G3:G7,"部分")&amp;" / "&amp;COUNTA('记录'!G3:G7)</f>
        <v/>
      </c>
      <c r="D8" s="2" t="inlineStr"/>
    </row>
    <row r="9">
      <c r="A9" s="1" t="inlineStr"/>
      <c r="B9" s="2" t="inlineStr">
        <is>
          <t>未完成</t>
        </is>
      </c>
      <c r="C9" s="4">
        <f>COUNTIF('记录'!G3:G7,"未完成")&amp;" / "&amp;COUNTA('记录'!G3:G7)</f>
        <v/>
      </c>
      <c r="D9" s="2" t="inlineStr"/>
    </row>
    <row r="10">
      <c r="A10" s="1" t="inlineStr"/>
      <c r="B10" s="2" t="inlineStr">
        <is>
          <t>用时中位数（秒）</t>
        </is>
      </c>
      <c r="C10" s="4">
        <f>IF(COUNT('记录'!H3:H7)=0,"",MEDIAN('记录'!H3:H7))</f>
        <v/>
      </c>
      <c r="D10" s="2" t="inlineStr">
        <is>
          <t>已扣除登录用时</t>
        </is>
      </c>
    </row>
    <row r="11">
      <c r="A11" s="1" t="inlineStr"/>
      <c r="B11" s="2" t="inlineStr">
        <is>
          <t>误以为“可以试用”即效果已验证</t>
        </is>
      </c>
      <c r="C11" s="4">
        <f>COUNTIF('记录'!J3:J7,"是")&amp;" / "&amp;COUNTA('记录'!J3:J7)</f>
        <v/>
      </c>
      <c r="D11" s="2" t="inlineStr">
        <is>
          <t>对应首次使用约定：候选资格不等于效果已证实</t>
        </is>
      </c>
    </row>
    <row r="12">
      <c r="A12" s="1" t="inlineStr">
        <is>
          <t>证据可达性</t>
        </is>
      </c>
      <c r="B12" s="2" t="inlineStr">
        <is>
          <t>两次操作内到达来源</t>
        </is>
      </c>
      <c r="C12" s="4">
        <f>COUNTIF('记录'!O3:O7,"是")&amp;" / "&amp;COUNTA('记录'!L3:L7)</f>
        <v/>
      </c>
      <c r="D12" s="2" t="inlineStr">
        <is>
          <t>找到来源且操作数 ≤2</t>
        </is>
      </c>
    </row>
    <row r="13">
      <c r="A13" s="1" t="inlineStr"/>
      <c r="B13" s="2" t="inlineStr">
        <is>
          <t>最终找到来源</t>
        </is>
      </c>
      <c r="C13" s="4">
        <f>COUNTIF('记录'!L3:L7,"是")&amp;" / "&amp;COUNTA('记录'!L3:L7)</f>
        <v/>
      </c>
      <c r="D13" s="2" t="inlineStr">
        <is>
          <t>不限操作数，180 秒内</t>
        </is>
      </c>
    </row>
    <row r="14">
      <c r="A14" s="1" t="inlineStr">
        <is>
          <t>找证据耗时</t>
        </is>
      </c>
      <c r="B14" s="2" t="inlineStr">
        <is>
          <t>找到者用时中位数（秒）</t>
        </is>
      </c>
      <c r="C14" s="4">
        <f>IF(COUNT('记录'!P3:P7)=0,"",MEDIAN('记录'!P3:P7))</f>
        <v/>
      </c>
      <c r="D14" s="2" t="inlineStr">
        <is>
          <t>未找到者不计入</t>
        </is>
      </c>
    </row>
    <row r="15">
      <c r="A15" s="1" t="inlineStr">
        <is>
          <t>事实辨识</t>
        </is>
      </c>
      <c r="B15" s="2" t="inlineStr">
        <is>
          <t>有来源事实</t>
        </is>
      </c>
      <c r="C15" s="4">
        <f>COUNTIF('记录'!R3:R7,1)&amp;" / "&amp;COUNT('记录'!R3:R7)</f>
        <v/>
      </c>
      <c r="D15" s="2" t="inlineStr"/>
    </row>
    <row r="16">
      <c r="A16" s="1" t="inlineStr"/>
      <c r="B16" s="2" t="inlineStr">
        <is>
          <t>系统建议（判断而非事实）</t>
        </is>
      </c>
      <c r="C16" s="4">
        <f>COUNTIF('记录'!S3:S7,1)&amp;" / "&amp;COUNT('记录'!S3:S7)</f>
        <v/>
      </c>
      <c r="D16" s="2" t="inlineStr"/>
    </row>
    <row r="17">
      <c r="A17" s="1" t="inlineStr"/>
      <c r="B17" s="2" t="inlineStr">
        <is>
          <t>未知项</t>
        </is>
      </c>
      <c r="C17" s="4">
        <f>COUNTIF('记录'!T3:T7,1)&amp;" / "&amp;COUNT('记录'!T3:T7)</f>
        <v/>
      </c>
      <c r="D17" s="2" t="inlineStr"/>
    </row>
    <row r="18">
      <c r="A18" s="1" t="inlineStr"/>
      <c r="B18" s="2" t="inlineStr">
        <is>
          <t>冲突项</t>
        </is>
      </c>
      <c r="C18" s="4">
        <f>COUNTIF('记录'!U3:U7,1)&amp;" / "&amp;COUNT('记录'!U3:U7)&amp;"（不适用 "&amp;COUNTIF('记录'!U3:U7,"不适用")&amp;"）"</f>
        <v/>
      </c>
      <c r="D18" s="2" t="inlineStr">
        <is>
          <t>未出现冲突的场次不计入分母</t>
        </is>
      </c>
    </row>
    <row r="19">
      <c r="A19" s="1" t="inlineStr"/>
      <c r="B19" s="2" t="inlineStr">
        <is>
          <t>“效果待测”追问</t>
        </is>
      </c>
      <c r="C19" s="4">
        <f>COUNTIF('记录'!V3:V7,1)&amp;" / "&amp;COUNT('记录'!V3:V7)</f>
        <v/>
      </c>
      <c r="D19" s="2" t="inlineStr"/>
    </row>
    <row r="20">
      <c r="A20" s="1" t="inlineStr"/>
      <c r="B20" s="2" t="inlineStr">
        <is>
          <t>全部适用项合计</t>
        </is>
      </c>
      <c r="C20" s="4">
        <f>SUM('记录'!W3:W7)&amp;" / "&amp;SUM('记录'!X3:X7)</f>
        <v/>
      </c>
      <c r="D20" s="2" t="inlineStr">
        <is>
          <t>所有场次得分之和 / 适用项之和</t>
        </is>
      </c>
    </row>
    <row r="21">
      <c r="A21" s="1" t="inlineStr">
        <is>
          <t>跨端任务完成</t>
        </is>
      </c>
      <c r="B21" s="2" t="inlineStr">
        <is>
          <t>手机完成</t>
        </is>
      </c>
      <c r="C21" s="4">
        <f>COUNTIF('记录'!Y3:Y7,"完成")&amp;" / "&amp;COUNTA('记录'!Y3:Y7)</f>
        <v/>
      </c>
      <c r="D21" s="2" t="inlineStr">
        <is>
          <t>按 T5 评分标准</t>
        </is>
      </c>
    </row>
    <row r="22">
      <c r="A22" s="1" t="inlineStr"/>
      <c r="B22" s="2" t="inlineStr">
        <is>
          <t>手机部分完成</t>
        </is>
      </c>
      <c r="C22" s="4">
        <f>COUNTIF('记录'!Y3:Y7,"部分")&amp;" / "&amp;COUNTA('记录'!Y3:Y7)</f>
        <v/>
      </c>
      <c r="D22" s="2" t="inlineStr"/>
    </row>
    <row r="23">
      <c r="A23" s="1" t="inlineStr"/>
      <c r="B23" s="2" t="inlineStr">
        <is>
          <t>记录到布局问题的场次</t>
        </is>
      </c>
      <c r="C23" s="4">
        <f>COUNTA('记录'!AA3:AA7)&amp;" / "&amp;COUNTA('记录'!Y3:Y7)</f>
        <v/>
      </c>
      <c r="D23" s="2" t="inlineStr">
        <is>
          <t>T5 布局问题非空即计</t>
        </is>
      </c>
    </row>
    <row r="24">
      <c r="A24" s="1" t="inlineStr">
        <is>
          <t>易用性（SEQ）</t>
        </is>
      </c>
      <c r="B24" s="2" t="inlineStr">
        <is>
          <t>T2 中位数</t>
        </is>
      </c>
      <c r="C24" s="4">
        <f>IF(COUNT('记录'!K3:K7)=0,"",MEDIAN('记录'!K3:K7))</f>
        <v/>
      </c>
      <c r="D24" s="2" t="inlineStr">
        <is>
          <t>1 非常难 – 7 非常容易</t>
        </is>
      </c>
    </row>
    <row r="25">
      <c r="A25" s="1" t="inlineStr"/>
      <c r="B25" s="2" t="inlineStr">
        <is>
          <t>T3 中位数</t>
        </is>
      </c>
      <c r="C25" s="4">
        <f>IF(COUNT('记录'!Q3:Q7)=0,"",MEDIAN('记录'!Q3:Q7))</f>
        <v/>
      </c>
      <c r="D25" s="2" t="inlineStr"/>
    </row>
    <row r="26">
      <c r="A26" s="1" t="inlineStr"/>
      <c r="B26" s="2" t="inlineStr">
        <is>
          <t>T5 中位数</t>
        </is>
      </c>
      <c r="C26" s="4">
        <f>IF(COUNT('记录'!AB3:AB7)=0,"",MEDIAN('记录'!AB3:AB7))</f>
        <v/>
      </c>
      <c r="D26" s="2" t="inlineStr"/>
    </row>
    <row r="27">
      <c r="A27" s="1" t="inlineStr">
        <is>
          <t>问题清单</t>
        </is>
      </c>
      <c r="B27" s="2" t="inlineStr">
        <is>
          <t>阻断</t>
        </is>
      </c>
      <c r="C27" s="4">
        <f>COUNTIF('问题清单'!E2:E31,"阻断")</f>
        <v/>
      </c>
      <c r="D27" s="2" t="inlineStr">
        <is>
          <t>按“问题清单”页严重程度计数</t>
        </is>
      </c>
    </row>
    <row r="28">
      <c r="A28" s="1" t="inlineStr"/>
      <c r="B28" s="2" t="inlineStr">
        <is>
          <t>严重</t>
        </is>
      </c>
      <c r="C28" s="4">
        <f>COUNTIF('问题清单'!E2:E31,"严重")</f>
        <v/>
      </c>
      <c r="D28" s="2" t="inlineStr"/>
    </row>
    <row r="29">
      <c r="A29" s="1" t="inlineStr"/>
      <c r="B29" s="2" t="inlineStr">
        <is>
          <t>轻微</t>
        </is>
      </c>
      <c r="C29" s="4">
        <f>COUNTIF('问题清单'!E2:E31,"轻微")</f>
        <v/>
      </c>
      <c r="D29" s="2" t="inlineStr"/>
    </row>
    <row r="31" ht="36" customHeight="1">
      <c r="A31" s="5" t="inlineStr">
        <is>
          <t>说明</t>
        </is>
      </c>
      <c r="B31" s="6" t="inlineStr">
        <is>
          <t>全部为公式，随“记录”页 P1–P5 行自动更新；示例行不计入。结果以“人数 / 已测人数”表示，样本过小，不换算为百分比。</t>
        </is>
      </c>
    </row>
  </sheetData>
  <mergeCells count="1">
    <mergeCell ref="B31:D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6" customWidth="1" min="4" max="4"/>
    <col width="14" customWidth="1" min="5" max="5"/>
    <col width="18" customWidth="1" min="6" max="6"/>
    <col width="18" customWidth="1" min="7" max="7"/>
    <col width="26" customWidth="1" min="8" max="8"/>
    <col width="30" customWidth="1" min="9" max="9"/>
    <col width="12" customWidth="1" min="10" max="10"/>
    <col width="26" customWidth="1" min="11" max="11"/>
    <col width="12" customWidth="1" min="12" max="12"/>
    <col width="26" customWidth="1" min="13" max="13"/>
  </cols>
  <sheetData>
    <row r="1" ht="36" customHeight="1">
      <c r="A1" s="3" t="inlineStr">
        <is>
          <t>任务卡</t>
        </is>
      </c>
      <c r="B1" s="3" t="inlineStr">
        <is>
          <t>场景</t>
        </is>
      </c>
      <c r="C1" s="3" t="inlineStr">
        <is>
          <t>试跑日期</t>
        </is>
      </c>
      <c r="D1" s="3" t="inlineStr">
        <is>
          <t>线上版本
(buildCommit 前 7 位)</t>
        </is>
      </c>
      <c r="E1" s="3" t="inlineStr">
        <is>
          <t>结果类型</t>
        </is>
      </c>
      <c r="F1" s="3" t="inlineStr">
        <is>
          <t>主选</t>
        </is>
      </c>
      <c r="G1" s="3" t="inlineStr">
        <is>
          <t>备选</t>
        </is>
      </c>
      <c r="H1" s="3" t="inlineStr">
        <is>
          <t>无合格候选时的原因</t>
        </is>
      </c>
      <c r="I1" s="3" t="inlineStr">
        <is>
          <t>依据来源示例</t>
        </is>
      </c>
      <c r="J1" s="3" t="inlineStr">
        <is>
          <t>到原文的操作数</t>
        </is>
      </c>
      <c r="K1" s="3" t="inlineStr">
        <is>
          <t>未知项示例</t>
        </is>
      </c>
      <c r="L1" s="3" t="inlineStr">
        <is>
          <t>是否出现冲突</t>
        </is>
      </c>
      <c r="M1" s="3" t="inlineStr">
        <is>
          <t>备注</t>
        </is>
      </c>
    </row>
    <row r="2" ht="48" customHeight="1">
      <c r="A2" s="2" t="inlineStr">
        <is>
          <t>A</t>
        </is>
      </c>
      <c r="B2" s="2" t="inlineStr">
        <is>
          <t>文档问答（产品、研究）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</row>
    <row r="3" ht="48" customHeight="1">
      <c r="A3" s="2" t="inlineStr">
        <is>
          <t>B</t>
        </is>
      </c>
      <c r="B3" s="2" t="inlineStr">
        <is>
          <t>编码工具（工程）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48" customHeight="1">
      <c r="A4" s="2" t="inlineStr">
        <is>
          <t>C</t>
        </is>
      </c>
      <c r="B4" s="2" t="inlineStr">
        <is>
          <t>私有部署（预期可能无合格候选）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</sheetData>
  <dataValidations count="2">
    <dataValidation sqref="E2:E4" showErrorMessage="1" showInputMessage="1" allowBlank="1" error="请从下拉列表中选择" type="list">
      <formula1>"给出建议,没有合格候选"</formula1>
    </dataValidation>
    <dataValidation sqref="L2:L4" showErrorMessage="1" showInputMessage="1" allowBlank="1" error="请从下拉列表中选择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6" customWidth="1" min="4" max="4"/>
    <col width="8" customWidth="1" min="5" max="5"/>
    <col width="14" customWidth="1" min="6" max="6"/>
    <col width="30" customWidth="1" min="7" max="7"/>
    <col width="30" customWidth="1" min="8" max="8"/>
    <col width="30" customWidth="1" min="9" max="9"/>
    <col width="24" customWidth="1" min="10" max="10"/>
  </cols>
  <sheetData>
    <row r="1" ht="36" customHeight="1">
      <c r="A1" s="3" t="inlineStr">
        <is>
          <t>参与者</t>
        </is>
      </c>
      <c r="B1" s="3" t="inlineStr">
        <is>
          <t>用户类型</t>
        </is>
      </c>
      <c r="C1" s="3" t="inlineStr">
        <is>
          <t>测试日期</t>
        </is>
      </c>
      <c r="D1" s="3" t="inlineStr">
        <is>
          <t>线上版本
(buildCommit 前 7 位)</t>
        </is>
      </c>
      <c r="E1" s="3" t="inlineStr">
        <is>
          <t>任务卡</t>
        </is>
      </c>
      <c r="F1" s="3" t="inlineStr">
        <is>
          <t>测试账号</t>
        </is>
      </c>
      <c r="G1" s="3" t="inlineStr">
        <is>
          <t>背景 1：最近一次选型</t>
        </is>
      </c>
      <c r="H1" s="3" t="inlineStr">
        <is>
          <t>背景 2：怎样做决定</t>
        </is>
      </c>
      <c r="I1" s="3" t="inlineStr">
        <is>
          <t>背景 3：最难确认的</t>
        </is>
      </c>
      <c r="J1" s="3" t="inlineStr">
        <is>
          <t>备注</t>
        </is>
      </c>
    </row>
    <row r="2" ht="40" customHeight="1">
      <c r="A2" s="2" t="inlineStr">
        <is>
          <t>P1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</row>
    <row r="3" ht="40" customHeight="1">
      <c r="A3" s="2" t="inlineStr">
        <is>
          <t>P2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 ht="40" customHeight="1">
      <c r="A4" s="2" t="inlineStr">
        <is>
          <t>P3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</row>
    <row r="5" ht="40" customHeight="1">
      <c r="A5" s="2" t="inlineStr">
        <is>
          <t>P4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 ht="40" customHeight="1">
      <c r="A6" s="2" t="inlineStr">
        <is>
          <t>P5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</sheetData>
  <dataValidations count="2">
    <dataValidation sqref="B2:B6" showErrorMessage="1" showInputMessage="1" allowBlank="1" error="请从下拉列表中选择" type="list">
      <formula1>"工程与架构负责人,产品经理与创业团队,AI 研究与行业观察者"</formula1>
    </dataValidation>
    <dataValidation sqref="E2:E6" showErrorMessage="1" showInputMessage="1" allowBlank="1" error="请从下拉列表中选择" type="list">
      <formula1>"A,B,C"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1" customWidth="1" min="8" max="8"/>
    <col width="10" customWidth="1" min="9" max="9"/>
    <col width="10" customWidth="1" min="10" max="10"/>
    <col width="8" customWidth="1" min="11" max="11"/>
    <col width="9" customWidth="1" min="12" max="12"/>
    <col width="8" customWidth="1" min="13" max="13"/>
    <col width="9" customWidth="1" min="14" max="14"/>
    <col width="9" customWidth="1" min="15" max="15"/>
    <col width="10" customWidth="1" min="16" max="16"/>
    <col width="8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8" customWidth="1" min="23" max="23"/>
    <col width="8" customWidth="1" min="24" max="24"/>
    <col width="10" customWidth="1" min="25" max="25"/>
    <col width="9" customWidth="1" min="26" max="26"/>
    <col width="24" customWidth="1" min="27" max="27"/>
    <col width="8" customWidth="1" min="28" max="28"/>
    <col width="40" customWidth="1" min="29" max="29"/>
  </cols>
  <sheetData>
    <row r="1" ht="36" customHeight="1">
      <c r="A1" s="3" t="inlineStr">
        <is>
          <t>参与者</t>
        </is>
      </c>
      <c r="B1" s="3" t="inlineStr">
        <is>
          <t>任务卡</t>
        </is>
      </c>
      <c r="C1" s="3" t="inlineStr">
        <is>
          <t>T1 追踪器
0/1</t>
        </is>
      </c>
      <c r="D1" s="3" t="inlineStr">
        <is>
          <t>T1 决策助手
0/1</t>
        </is>
      </c>
      <c r="E1" s="3" t="inlineStr">
        <is>
          <t>T1 证据
0/1</t>
        </is>
      </c>
      <c r="F1" s="3" t="inlineStr">
        <is>
          <t>T1 得分
(0–3)</t>
        </is>
      </c>
      <c r="G1" s="3" t="inlineStr">
        <is>
          <t>T2 结果</t>
        </is>
      </c>
      <c r="H1" s="3" t="inlineStr">
        <is>
          <t>T2 用时(秒)
扣除登录</t>
        </is>
      </c>
      <c r="I1" s="3" t="inlineStr">
        <is>
          <t>T2 登录用时(秒)</t>
        </is>
      </c>
      <c r="J1" s="3" t="inlineStr">
        <is>
          <t>T2 误以为
效果已验证</t>
        </is>
      </c>
      <c r="K1" s="3" t="inlineStr">
        <is>
          <t>T2 SEQ
1–7</t>
        </is>
      </c>
      <c r="L1" s="3" t="inlineStr">
        <is>
          <t>T3 找到来源</t>
        </is>
      </c>
      <c r="M1" s="3" t="inlineStr">
        <is>
          <t>T3 操作数</t>
        </is>
      </c>
      <c r="N1" s="3" t="inlineStr">
        <is>
          <t>T3 用时(秒)</t>
        </is>
      </c>
      <c r="O1" s="3" t="inlineStr">
        <is>
          <t>T3 可达
(≤2 次)</t>
        </is>
      </c>
      <c r="P1" s="3" t="inlineStr">
        <is>
          <t>T3 找到者用时</t>
        </is>
      </c>
      <c r="Q1" s="3" t="inlineStr">
        <is>
          <t>T3 SEQ
1–7</t>
        </is>
      </c>
      <c r="R1" s="3" t="inlineStr">
        <is>
          <t>T4 有来源事实
0/1</t>
        </is>
      </c>
      <c r="S1" s="3" t="inlineStr">
        <is>
          <t>T4 系统建议
0/1</t>
        </is>
      </c>
      <c r="T1" s="3" t="inlineStr">
        <is>
          <t>T4 未知项
0/1</t>
        </is>
      </c>
      <c r="U1" s="3" t="inlineStr">
        <is>
          <t>T4 冲突项
0/1/不适用</t>
        </is>
      </c>
      <c r="V1" s="3" t="inlineStr">
        <is>
          <t>T4 效果追问
0/1</t>
        </is>
      </c>
      <c r="W1" s="3" t="inlineStr">
        <is>
          <t>T4 得分</t>
        </is>
      </c>
      <c r="X1" s="3" t="inlineStr">
        <is>
          <t>T4 适用项数</t>
        </is>
      </c>
      <c r="Y1" s="3" t="inlineStr">
        <is>
          <t>T5 结果</t>
        </is>
      </c>
      <c r="Z1" s="3" t="inlineStr">
        <is>
          <t>T5 手机
重新提交</t>
        </is>
      </c>
      <c r="AA1" s="3" t="inlineStr">
        <is>
          <t>T5 布局问题</t>
        </is>
      </c>
      <c r="AB1" s="3" t="inlineStr">
        <is>
          <t>T5 SEQ
1–7</t>
        </is>
      </c>
      <c r="AC1" s="3" t="inlineStr">
        <is>
          <t>关键原话 / 备注</t>
        </is>
      </c>
    </row>
    <row r="2" ht="40" customHeight="1">
      <c r="A2" s="8" t="inlineStr">
        <is>
          <t>示例（不计入汇总）</t>
        </is>
      </c>
      <c r="B2" s="8" t="inlineStr">
        <is>
          <t>A</t>
        </is>
      </c>
      <c r="C2" s="8" t="n">
        <v>1</v>
      </c>
      <c r="D2" s="8" t="n">
        <v>1</v>
      </c>
      <c r="E2" s="8" t="n">
        <v>0</v>
      </c>
      <c r="F2" s="8">
        <f>IF(COUNT(C2:E2)=0,"",SUM(C2:E2))</f>
        <v/>
      </c>
      <c r="G2" s="8" t="inlineStr">
        <is>
          <t>部分</t>
        </is>
      </c>
      <c r="H2" s="8" t="n">
        <v>420</v>
      </c>
      <c r="I2" s="8" t="n">
        <v>60</v>
      </c>
      <c r="J2" s="8" t="inlineStr">
        <is>
          <t>是</t>
        </is>
      </c>
      <c r="K2" s="8" t="n">
        <v>4</v>
      </c>
      <c r="L2" s="8" t="inlineStr">
        <is>
          <t>是</t>
        </is>
      </c>
      <c r="M2" s="8" t="n">
        <v>3</v>
      </c>
      <c r="N2" s="8" t="n">
        <v>95</v>
      </c>
      <c r="O2" s="8">
        <f>IF(L2="","",IF(AND(L2="是",M2&lt;&gt;"",M2&lt;=2),"是","否"))</f>
        <v/>
      </c>
      <c r="P2" s="8">
        <f>IF(L2="是",N2,"")</f>
        <v/>
      </c>
      <c r="Q2" s="8" t="n">
        <v>5</v>
      </c>
      <c r="R2" s="8" t="n">
        <v>1</v>
      </c>
      <c r="S2" s="8" t="n">
        <v>0</v>
      </c>
      <c r="T2" s="8" t="n">
        <v>1</v>
      </c>
      <c r="U2" s="8" t="inlineStr">
        <is>
          <t>不适用</t>
        </is>
      </c>
      <c r="V2" s="8" t="n">
        <v>0</v>
      </c>
      <c r="W2" s="8">
        <f>IF(COUNT(R2:V2)=0,"",SUM(R2:V2))</f>
        <v/>
      </c>
      <c r="X2" s="8">
        <f>IF(COUNT(R2:V2)=0,"",COUNT(R2:V2))</f>
        <v/>
      </c>
      <c r="Y2" s="8" t="inlineStr">
        <is>
          <t>完成</t>
        </is>
      </c>
      <c r="Z2" s="8" t="inlineStr">
        <is>
          <t>否</t>
        </is>
      </c>
      <c r="AA2" s="8" t="inlineStr">
        <is>
          <t>底部导航遮住了“查看依据”</t>
        </is>
      </c>
      <c r="AB2" s="8" t="n">
        <v>5</v>
      </c>
      <c r="AC2" s="8" t="inlineStr">
        <is>
          <t>“可以试用，那就是它效果最好吧？”</t>
        </is>
      </c>
    </row>
    <row r="3" ht="40" customHeight="1">
      <c r="A3" s="2" t="inlineStr">
        <is>
          <t>P1</t>
        </is>
      </c>
      <c r="B3" s="7" t="n"/>
      <c r="C3" s="7" t="n"/>
      <c r="D3" s="7" t="n"/>
      <c r="E3" s="7" t="n"/>
      <c r="F3" s="9">
        <f>IF(COUNT(C3:E3)=0,"",SUM(C3:E3))</f>
        <v/>
      </c>
      <c r="G3" s="7" t="n"/>
      <c r="H3" s="7" t="n"/>
      <c r="I3" s="7" t="n"/>
      <c r="J3" s="7" t="n"/>
      <c r="K3" s="7" t="n"/>
      <c r="L3" s="7" t="n"/>
      <c r="M3" s="7" t="n"/>
      <c r="N3" s="7" t="n"/>
      <c r="O3" s="9">
        <f>IF(L3="","",IF(AND(L3="是",M3&lt;&gt;"",M3&lt;=2),"是","否"))</f>
        <v/>
      </c>
      <c r="P3" s="9">
        <f>IF(L3="是",N3,"")</f>
        <v/>
      </c>
      <c r="Q3" s="7" t="n"/>
      <c r="R3" s="7" t="n"/>
      <c r="S3" s="7" t="n"/>
      <c r="T3" s="7" t="n"/>
      <c r="U3" s="7" t="n"/>
      <c r="V3" s="7" t="n"/>
      <c r="W3" s="9">
        <f>IF(COUNT(R3:V3)=0,"",SUM(R3:V3))</f>
        <v/>
      </c>
      <c r="X3" s="9">
        <f>IF(COUNT(R3:V3)=0,"",COUNT(R3:V3))</f>
        <v/>
      </c>
      <c r="Y3" s="7" t="n"/>
      <c r="Z3" s="7" t="n"/>
      <c r="AA3" s="7" t="n"/>
      <c r="AB3" s="7" t="n"/>
      <c r="AC3" s="7" t="n"/>
    </row>
    <row r="4" ht="40" customHeight="1">
      <c r="A4" s="2" t="inlineStr">
        <is>
          <t>P2</t>
        </is>
      </c>
      <c r="B4" s="7" t="n"/>
      <c r="C4" s="7" t="n"/>
      <c r="D4" s="7" t="n"/>
      <c r="E4" s="7" t="n"/>
      <c r="F4" s="9">
        <f>IF(COUNT(C4:E4)=0,"",SUM(C4:E4))</f>
        <v/>
      </c>
      <c r="G4" s="7" t="n"/>
      <c r="H4" s="7" t="n"/>
      <c r="I4" s="7" t="n"/>
      <c r="J4" s="7" t="n"/>
      <c r="K4" s="7" t="n"/>
      <c r="L4" s="7" t="n"/>
      <c r="M4" s="7" t="n"/>
      <c r="N4" s="7" t="n"/>
      <c r="O4" s="9">
        <f>IF(L4="","",IF(AND(L4="是",M4&lt;&gt;"",M4&lt;=2),"是","否"))</f>
        <v/>
      </c>
      <c r="P4" s="9">
        <f>IF(L4="是",N4,"")</f>
        <v/>
      </c>
      <c r="Q4" s="7" t="n"/>
      <c r="R4" s="7" t="n"/>
      <c r="S4" s="7" t="n"/>
      <c r="T4" s="7" t="n"/>
      <c r="U4" s="7" t="n"/>
      <c r="V4" s="7" t="n"/>
      <c r="W4" s="9">
        <f>IF(COUNT(R4:V4)=0,"",SUM(R4:V4))</f>
        <v/>
      </c>
      <c r="X4" s="9">
        <f>IF(COUNT(R4:V4)=0,"",COUNT(R4:V4))</f>
        <v/>
      </c>
      <c r="Y4" s="7" t="n"/>
      <c r="Z4" s="7" t="n"/>
      <c r="AA4" s="7" t="n"/>
      <c r="AB4" s="7" t="n"/>
      <c r="AC4" s="7" t="n"/>
    </row>
    <row r="5" ht="40" customHeight="1">
      <c r="A5" s="2" t="inlineStr">
        <is>
          <t>P3</t>
        </is>
      </c>
      <c r="B5" s="7" t="n"/>
      <c r="C5" s="7" t="n"/>
      <c r="D5" s="7" t="n"/>
      <c r="E5" s="7" t="n"/>
      <c r="F5" s="9">
        <f>IF(COUNT(C5:E5)=0,"",SUM(C5:E5))</f>
        <v/>
      </c>
      <c r="G5" s="7" t="n"/>
      <c r="H5" s="7" t="n"/>
      <c r="I5" s="7" t="n"/>
      <c r="J5" s="7" t="n"/>
      <c r="K5" s="7" t="n"/>
      <c r="L5" s="7" t="n"/>
      <c r="M5" s="7" t="n"/>
      <c r="N5" s="7" t="n"/>
      <c r="O5" s="9">
        <f>IF(L5="","",IF(AND(L5="是",M5&lt;&gt;"",M5&lt;=2),"是","否"))</f>
        <v/>
      </c>
      <c r="P5" s="9">
        <f>IF(L5="是",N5,"")</f>
        <v/>
      </c>
      <c r="Q5" s="7" t="n"/>
      <c r="R5" s="7" t="n"/>
      <c r="S5" s="7" t="n"/>
      <c r="T5" s="7" t="n"/>
      <c r="U5" s="7" t="n"/>
      <c r="V5" s="7" t="n"/>
      <c r="W5" s="9">
        <f>IF(COUNT(R5:V5)=0,"",SUM(R5:V5))</f>
        <v/>
      </c>
      <c r="X5" s="9">
        <f>IF(COUNT(R5:V5)=0,"",COUNT(R5:V5))</f>
        <v/>
      </c>
      <c r="Y5" s="7" t="n"/>
      <c r="Z5" s="7" t="n"/>
      <c r="AA5" s="7" t="n"/>
      <c r="AB5" s="7" t="n"/>
      <c r="AC5" s="7" t="n"/>
    </row>
    <row r="6" ht="40" customHeight="1">
      <c r="A6" s="2" t="inlineStr">
        <is>
          <t>P4</t>
        </is>
      </c>
      <c r="B6" s="7" t="n"/>
      <c r="C6" s="7" t="n"/>
      <c r="D6" s="7" t="n"/>
      <c r="E6" s="7" t="n"/>
      <c r="F6" s="9">
        <f>IF(COUNT(C6:E6)=0,"",SUM(C6:E6))</f>
        <v/>
      </c>
      <c r="G6" s="7" t="n"/>
      <c r="H6" s="7" t="n"/>
      <c r="I6" s="7" t="n"/>
      <c r="J6" s="7" t="n"/>
      <c r="K6" s="7" t="n"/>
      <c r="L6" s="7" t="n"/>
      <c r="M6" s="7" t="n"/>
      <c r="N6" s="7" t="n"/>
      <c r="O6" s="9">
        <f>IF(L6="","",IF(AND(L6="是",M6&lt;&gt;"",M6&lt;=2),"是","否"))</f>
        <v/>
      </c>
      <c r="P6" s="9">
        <f>IF(L6="是",N6,"")</f>
        <v/>
      </c>
      <c r="Q6" s="7" t="n"/>
      <c r="R6" s="7" t="n"/>
      <c r="S6" s="7" t="n"/>
      <c r="T6" s="7" t="n"/>
      <c r="U6" s="7" t="n"/>
      <c r="V6" s="7" t="n"/>
      <c r="W6" s="9">
        <f>IF(COUNT(R6:V6)=0,"",SUM(R6:V6))</f>
        <v/>
      </c>
      <c r="X6" s="9">
        <f>IF(COUNT(R6:V6)=0,"",COUNT(R6:V6))</f>
        <v/>
      </c>
      <c r="Y6" s="7" t="n"/>
      <c r="Z6" s="7" t="n"/>
      <c r="AA6" s="7" t="n"/>
      <c r="AB6" s="7" t="n"/>
      <c r="AC6" s="7" t="n"/>
    </row>
    <row r="7" ht="40" customHeight="1">
      <c r="A7" s="2" t="inlineStr">
        <is>
          <t>P5</t>
        </is>
      </c>
      <c r="B7" s="7" t="n"/>
      <c r="C7" s="7" t="n"/>
      <c r="D7" s="7" t="n"/>
      <c r="E7" s="7" t="n"/>
      <c r="F7" s="9">
        <f>IF(COUNT(C7:E7)=0,"",SUM(C7:E7))</f>
        <v/>
      </c>
      <c r="G7" s="7" t="n"/>
      <c r="H7" s="7" t="n"/>
      <c r="I7" s="7" t="n"/>
      <c r="J7" s="7" t="n"/>
      <c r="K7" s="7" t="n"/>
      <c r="L7" s="7" t="n"/>
      <c r="M7" s="7" t="n"/>
      <c r="N7" s="7" t="n"/>
      <c r="O7" s="9">
        <f>IF(L7="","",IF(AND(L7="是",M7&lt;&gt;"",M7&lt;=2),"是","否"))</f>
        <v/>
      </c>
      <c r="P7" s="9">
        <f>IF(L7="是",N7,"")</f>
        <v/>
      </c>
      <c r="Q7" s="7" t="n"/>
      <c r="R7" s="7" t="n"/>
      <c r="S7" s="7" t="n"/>
      <c r="T7" s="7" t="n"/>
      <c r="U7" s="7" t="n"/>
      <c r="V7" s="7" t="n"/>
      <c r="W7" s="9">
        <f>IF(COUNT(R7:V7)=0,"",SUM(R7:V7))</f>
        <v/>
      </c>
      <c r="X7" s="9">
        <f>IF(COUNT(R7:V7)=0,"",COUNT(R7:V7))</f>
        <v/>
      </c>
      <c r="Y7" s="7" t="n"/>
      <c r="Z7" s="7" t="n"/>
      <c r="AA7" s="7" t="n"/>
      <c r="AB7" s="7" t="n"/>
      <c r="AC7" s="7" t="n"/>
    </row>
  </sheetData>
  <dataValidations count="13">
    <dataValidation sqref="B3:B7" showErrorMessage="1" showInputMessage="1" allowBlank="1" error="请从下拉列表中选择" type="list">
      <formula1>"A,B,C"</formula1>
    </dataValidation>
    <dataValidation sqref="C3:E7" showErrorMessage="1" showInputMessage="1" allowBlank="1" error="请从下拉列表中选择" type="list">
      <formula1>"0,1"</formula1>
    </dataValidation>
    <dataValidation sqref="G3:G7" showErrorMessage="1" showInputMessage="1" allowBlank="1" error="请从下拉列表中选择" type="list">
      <formula1>"完成,部分,未完成"</formula1>
    </dataValidation>
    <dataValidation sqref="J3:J7" showErrorMessage="1" showInputMessage="1" allowBlank="1" error="请从下拉列表中选择" type="list">
      <formula1>"是,否"</formula1>
    </dataValidation>
    <dataValidation sqref="L3:L7" showErrorMessage="1" showInputMessage="1" allowBlank="1" error="请从下拉列表中选择" type="list">
      <formula1>"是,否"</formula1>
    </dataValidation>
    <dataValidation sqref="R3:T7" showErrorMessage="1" showInputMessage="1" allowBlank="1" error="请从下拉列表中选择" type="list">
      <formula1>"0,1"</formula1>
    </dataValidation>
    <dataValidation sqref="U3:U7" showErrorMessage="1" showInputMessage="1" allowBlank="1" error="请从下拉列表中选择" type="list">
      <formula1>"0,1,不适用"</formula1>
    </dataValidation>
    <dataValidation sqref="V3:V7" showErrorMessage="1" showInputMessage="1" allowBlank="1" error="请从下拉列表中选择" type="list">
      <formula1>"0,1"</formula1>
    </dataValidation>
    <dataValidation sqref="Y3:Y7" showErrorMessage="1" showInputMessage="1" allowBlank="1" error="请从下拉列表中选择" type="list">
      <formula1>"完成,部分,未完成"</formula1>
    </dataValidation>
    <dataValidation sqref="Z3:Z7" showErrorMessage="1" showInputMessage="1" allowBlank="1" error="请从下拉列表中选择" type="list">
      <formula1>"是,否"</formula1>
    </dataValidation>
    <dataValidation sqref="K3:K7" showErrorMessage="1" showInputMessage="1" allowBlank="1" error="SEQ 填 1–7 的整数" type="whole" operator="between">
      <formula1>1</formula1>
      <formula2>7</formula2>
    </dataValidation>
    <dataValidation sqref="Q3:Q7" showErrorMessage="1" showInputMessage="1" allowBlank="1" error="SEQ 填 1–7 的整数" type="whole" operator="between">
      <formula1>1</formula1>
      <formula2>7</formula2>
    </dataValidation>
    <dataValidation sqref="AB3:AB7" showErrorMessage="1" showInputMessage="1" allowBlank="1" error="SEQ 填 1–7 的整数" type="whole" operator="between">
      <formula1>1</formula1>
      <formula2>7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70" customWidth="1" min="5" max="5"/>
    <col width="12" customWidth="1" min="6" max="6"/>
  </cols>
  <sheetData>
    <row r="1" ht="36" customHeight="1">
      <c r="A1" s="3" t="inlineStr">
        <is>
          <t>时间</t>
        </is>
      </c>
      <c r="B1" s="3" t="inlineStr">
        <is>
          <t>参与者</t>
        </is>
      </c>
      <c r="C1" s="3" t="inlineStr">
        <is>
          <t>任务</t>
        </is>
      </c>
      <c r="D1" s="3" t="inlineStr">
        <is>
          <t>页面 / 区域</t>
        </is>
      </c>
      <c r="E1" s="3" t="inlineStr">
        <is>
          <t>观察或原话</t>
        </is>
      </c>
      <c r="F1" s="3" t="inlineStr">
        <is>
          <t>类型</t>
        </is>
      </c>
    </row>
    <row r="2">
      <c r="A2" s="7" t="n"/>
      <c r="B2" s="7" t="n"/>
      <c r="C2" s="7" t="n"/>
      <c r="D2" s="7" t="n"/>
      <c r="E2" s="7" t="n"/>
      <c r="F2" s="7" t="n"/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</sheetData>
  <dataValidations count="3">
    <dataValidation sqref="B2:B81" showErrorMessage="1" showInputMessage="1" allowBlank="1" error="请从下拉列表中选择" type="list">
      <formula1>"P1,P2,P3,P4,P5"</formula1>
    </dataValidation>
    <dataValidation sqref="C2:C81" showErrorMessage="1" showInputMessage="1" allowBlank="1" error="请从下拉列表中选择" type="list">
      <formula1>"背景,T1,T2,T3,T4,T5,收尾"</formula1>
    </dataValidation>
    <dataValidation sqref="F2:F81" showErrorMessage="1" showInputMessage="1" allowBlank="1" error="请从下拉列表中选择" type="list">
      <formula1>"误解,犹豫,绕路,阻断,正面"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6" customWidth="1" min="2" max="2"/>
    <col width="8" customWidth="1" min="3" max="3"/>
    <col width="20" customWidth="1" min="4" max="4"/>
    <col width="10" customWidth="1" min="5" max="5"/>
    <col width="9" customWidth="1" min="6" max="6"/>
    <col width="14" customWidth="1" min="7" max="7"/>
    <col width="40" customWidth="1" min="8" max="8"/>
    <col width="32" customWidth="1" min="9" max="9"/>
    <col width="20" customWidth="1" min="10" max="10"/>
  </cols>
  <sheetData>
    <row r="1" ht="36" customHeight="1">
      <c r="A1" s="3" t="inlineStr">
        <is>
          <t>编号</t>
        </is>
      </c>
      <c r="B1" s="3" t="inlineStr">
        <is>
          <t>问题描述</t>
        </is>
      </c>
      <c r="C1" s="3" t="inlineStr">
        <is>
          <t>任务</t>
        </is>
      </c>
      <c r="D1" s="3" t="inlineStr">
        <is>
          <t>页面 / 区域</t>
        </is>
      </c>
      <c r="E1" s="3" t="inlineStr">
        <is>
          <t>严重程度</t>
        </is>
      </c>
      <c r="F1" s="3" t="inlineStr">
        <is>
          <t>出现人数</t>
        </is>
      </c>
      <c r="G1" s="3" t="inlineStr">
        <is>
          <t>涉及参与者</t>
        </is>
      </c>
      <c r="H1" s="3" t="inlineStr">
        <is>
          <t>参与者原话</t>
        </is>
      </c>
      <c r="I1" s="3" t="inlineStr">
        <is>
          <t>拟修改</t>
        </is>
      </c>
      <c r="J1" s="3" t="inlineStr">
        <is>
          <t>复测结果</t>
        </is>
      </c>
    </row>
    <row r="2">
      <c r="A2" s="2" t="inlineStr">
        <is>
          <t>I01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</row>
    <row r="3">
      <c r="A3" s="2" t="inlineStr">
        <is>
          <t>I02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2" t="inlineStr">
        <is>
          <t>I03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2" t="inlineStr">
        <is>
          <t>I04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2" t="inlineStr">
        <is>
          <t>I05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2" t="inlineStr">
        <is>
          <t>I06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2" t="inlineStr">
        <is>
          <t>I07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2" t="inlineStr">
        <is>
          <t>I08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2" t="inlineStr">
        <is>
          <t>I09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2" t="inlineStr">
        <is>
          <t>I10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2" t="inlineStr">
        <is>
          <t>I11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2" t="inlineStr">
        <is>
          <t>I12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2" t="inlineStr">
        <is>
          <t>I13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2" t="inlineStr">
        <is>
          <t>I14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2" t="inlineStr">
        <is>
          <t>I15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2" t="inlineStr">
        <is>
          <t>I16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2" t="inlineStr">
        <is>
          <t>I17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2" t="inlineStr">
        <is>
          <t>I18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2" t="inlineStr">
        <is>
          <t>I19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2" t="inlineStr">
        <is>
          <t>I20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2" t="inlineStr">
        <is>
          <t>I21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2" t="inlineStr">
        <is>
          <t>I22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2" t="inlineStr">
        <is>
          <t>I23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2" t="inlineStr">
        <is>
          <t>I24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2" t="inlineStr">
        <is>
          <t>I25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2" t="inlineStr">
        <is>
          <t>I26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2" t="inlineStr">
        <is>
          <t>I27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2" t="inlineStr">
        <is>
          <t>I28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2" t="inlineStr">
        <is>
          <t>I29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2" t="inlineStr">
        <is>
          <t>I30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</sheetData>
  <dataValidations count="3">
    <dataValidation sqref="C2:C31" showErrorMessage="1" showInputMessage="1" allowBlank="1" error="请从下拉列表中选择" type="list">
      <formula1>"背景,T1,T2,T3,T4,T5,收尾"</formula1>
    </dataValidation>
    <dataValidation sqref="E2:E31" showErrorMessage="1" showInputMessage="1" allowBlank="1" error="请从下拉列表中选择" type="list">
      <formula1>"阻断,严重,轻微"</formula1>
    </dataValidation>
    <dataValidation sqref="F2:F31" showErrorMessage="1" showInputMessage="1" allowBlank="1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2026-10-30T16:28:51Z</dcterms:created>
  <dcterms:modified xmlns:dcterms="http://purl.org/dc/terms/" xmlns:xsi="http://www.w3.org/2001/XMLSchema-instance" xsi:type="dcterms:W3CDTF">2026-10-30T16:28:51Z</dcterms:modified>
</cp:coreProperties>
</file>